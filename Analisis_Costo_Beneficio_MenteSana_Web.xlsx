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die\Downloads\Necesario para software\Lo que hare\Proyecto Software\"/>
    </mc:Choice>
  </mc:AlternateContent>
  <xr:revisionPtr revIDLastSave="0" documentId="13_ncr:1_{BF8BE197-FE4E-4319-A1C6-E1F6CE10661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nalisis Costo-Benefici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1" l="1"/>
  <c r="F29" i="1"/>
  <c r="C30" i="1"/>
  <c r="D30" i="1"/>
  <c r="E30" i="1"/>
  <c r="F30" i="1"/>
  <c r="C34" i="1" s="1"/>
  <c r="C14" i="1"/>
  <c r="C22" i="1"/>
  <c r="F27" i="1"/>
  <c r="F26" i="1"/>
  <c r="F25" i="1"/>
  <c r="F21" i="1"/>
  <c r="E21" i="1"/>
  <c r="D21" i="1"/>
  <c r="C21" i="1"/>
  <c r="F20" i="1"/>
  <c r="F19" i="1"/>
  <c r="F18" i="1"/>
  <c r="F17" i="1"/>
  <c r="E14" i="1"/>
  <c r="E22" i="1" s="1"/>
  <c r="D14" i="1"/>
  <c r="D22" i="1" s="1"/>
  <c r="F13" i="1"/>
  <c r="F12" i="1"/>
  <c r="F14" i="1" s="1"/>
  <c r="F22" i="1" s="1"/>
  <c r="F11" i="1"/>
  <c r="F10" i="1"/>
  <c r="F9" i="1"/>
  <c r="F8" i="1"/>
  <c r="F7" i="1"/>
  <c r="F6" i="1"/>
  <c r="C33" i="1" l="1"/>
  <c r="C35" i="1"/>
</calcChain>
</file>

<file path=xl/sharedStrings.xml><?xml version="1.0" encoding="utf-8"?>
<sst xmlns="http://schemas.openxmlformats.org/spreadsheetml/2006/main" count="87" uniqueCount="68">
  <si>
    <t>PLANTILLA DE ANÁLISIS COSTO-BENEFICIO</t>
  </si>
  <si>
    <t>Proyecto:</t>
  </si>
  <si>
    <t>Product Owner:</t>
  </si>
  <si>
    <t>Didier Andre Vesga Fuentes</t>
  </si>
  <si>
    <t>Cliente:</t>
  </si>
  <si>
    <t>Equipo:</t>
  </si>
  <si>
    <t>NovaBit (Camila Ortega, Andrés Quintero, Laura Fonseca, Sebastián Morales)</t>
  </si>
  <si>
    <t>COSTOS DIRECTOS</t>
  </si>
  <si>
    <t>Categoría</t>
  </si>
  <si>
    <t>Ítem</t>
  </si>
  <si>
    <t>Mes 1</t>
  </si>
  <si>
    <t>Mes 2</t>
  </si>
  <si>
    <t>Mes 3</t>
  </si>
  <si>
    <t>Total</t>
  </si>
  <si>
    <t>Personal</t>
  </si>
  <si>
    <t>Product Owner / Coordinación (Didier Vesga) — 1 x $2.800.000/mes</t>
  </si>
  <si>
    <t>Desarrolladora Backend (Camila Ortega) — $3.200.000/mes</t>
  </si>
  <si>
    <t>Desarrollador BD / DevOps (Andrés Quintero) — $3.200.000/mes</t>
  </si>
  <si>
    <t>Desarrolladora Frontend UI/UX (Laura Fonseca) — $3.000.000/mes</t>
  </si>
  <si>
    <t>Scrum Master (Sebastián Morales) — $1.500.000/mes</t>
  </si>
  <si>
    <t>Licencias</t>
  </si>
  <si>
    <t>Licencias de software (Figma, herramientas SAST/DAST, repositorio privado)</t>
  </si>
  <si>
    <t>Infraestructura Cloud</t>
  </si>
  <si>
    <t>Hosting AWS (API NestJS t3.medium + PostgreSQL 15 db.t3.large + S3/CloudFront)</t>
  </si>
  <si>
    <t>Equipos</t>
  </si>
  <si>
    <t>Dominio web + certificado SSL/TLS (anual prorrateado)</t>
  </si>
  <si>
    <t>SUBTOTAL – Costos Directos</t>
  </si>
  <si>
    <t>COSTOS INDIRECTOS</t>
  </si>
  <si>
    <t>Infraestructura</t>
  </si>
  <si>
    <t>Servicio de internet del centro (Cúcuta)</t>
  </si>
  <si>
    <t>Electricidad / servicios de oficina NovaBit</t>
  </si>
  <si>
    <t>Capacitación</t>
  </si>
  <si>
    <t>Sesiones de capacitación al personal de Mente Sana en el uso del sistema</t>
  </si>
  <si>
    <t>Contingencia</t>
  </si>
  <si>
    <t>Reserva de contingencia (ajustes Sprint Review / observaciones cliente)</t>
  </si>
  <si>
    <t>SUBTOTAL – Costos Indirectos</t>
  </si>
  <si>
    <t>COSTO TOTAL DEL PROYECTO (INVERSIÓN)</t>
  </si>
  <si>
    <t>BENEFICIOS ESPERADOS</t>
  </si>
  <si>
    <t>Tangible</t>
  </si>
  <si>
    <t>Ahorro en tiempo administrativo (agendamiento centralizado vs. WhatsApp/Excel manual)</t>
  </si>
  <si>
    <t>Recuperación de cuentas por cobrar gracias a la conciliación de pagos (Nequi/Bancolombia)</t>
  </si>
  <si>
    <t>Reducción de errores en facturación y descuadres de caja (control de consecutivos)</t>
  </si>
  <si>
    <t>Intangible</t>
  </si>
  <si>
    <t>Reducción de riesgo legal por incumplimiento de Ley 1581/2012 y Res. 1995/1999 (historias clínicas)</t>
  </si>
  <si>
    <t>Mejora en la confianza y satisfacción de la Dra. Valentina Ríos y el equipo profesional</t>
  </si>
  <si>
    <t>SUBTOTAL – Beneficios</t>
  </si>
  <si>
    <t>INDICADORES ECONÓMICOS</t>
  </si>
  <si>
    <t>Indicador</t>
  </si>
  <si>
    <t>Fórmula</t>
  </si>
  <si>
    <t>Valor</t>
  </si>
  <si>
    <t>Interpretación</t>
  </si>
  <si>
    <t>ROI</t>
  </si>
  <si>
    <t>(Beneficio Total - Inversión) / Inversión</t>
  </si>
  <si>
    <t>ROI negativo en el horizonte de 3 meses analizado; los beneficios tangibles (ahorro de tiempo, recuperación de cuentas por cobrar, reducción de errores de caja) comienzan a materializarse desde el Mes 3 (Sprint 4-6) y se proyectan crecientes a partir del primer semestre de operación estable.</t>
  </si>
  <si>
    <t>Payback</t>
  </si>
  <si>
    <t>Inversión / Beneficio mensual promedio (proyectado)</t>
  </si>
  <si>
    <t>Estimación preliminar basada en los beneficios tangibles del Mes 3; el periodo de recuperación real depende de la consolidación de los módulos de Facturación (Sprint 4) y Reportes/Analítica (Sprint 5), próximos a iniciar según el cronograma del proyecto.</t>
  </si>
  <si>
    <t>Beneficio Neto</t>
  </si>
  <si>
    <t>Beneficio Total - Inversión</t>
  </si>
  <si>
    <t>Valor negativo esperado durante la fase de construcción (Sprints 4-6); el centro debe considerar este desarrollo como inversión de capital con retorno proyectado a partir de los ahorros operativos y la mejora del control de caja tras la entrega final (v1.1.0).</t>
  </si>
  <si>
    <t>NOTAS METODOLÓGICAS</t>
  </si>
  <si>
    <t>1. El horizonte de costos corresponde a los Sprints 4, 5 y 6 (15 jun – 24 jul 2026), fase aún no ejecutada del proyecto MenteSana Web según el cronograma (Tabla 56).</t>
  </si>
  <si>
    <t>2. Los costos de personal se estiman con base en honorarios mensuales equivalentes para los roles definidos por NovaBit (Product Owner, Backend, Base de Datos, Frontend y Scrum Master).</t>
  </si>
  <si>
    <t>3. Los beneficios tangibles se proyectan a partir del Mes 3, una vez entregados los módulos de Facturación y Caja (RF04, RF05) y Reportes Financieros (RF06).</t>
  </si>
  <si>
    <t>4. Los beneficios intangibles (cumplimiento normativo Ley 1581/2012, Res. 1995/1999 y Res. 839/2017, satisfacción del cliente) no se cuantifican monetariamente pero constituyen valor estratégico para el Centro Psicológico Mente Sana.</t>
  </si>
  <si>
    <t>5. Todas las cifras están expresadas en pesos colombianos (COP). Ajuste los valores de personal, licencias e infraestructura según las cotizaciones reales de NovaBit.</t>
  </si>
  <si>
    <t>MenteSana Web  Sistema de Gestión y Facturación para el Centro Psicológico Mente Sana</t>
  </si>
  <si>
    <t>Centro Psicológico Mente Sana  Dra. Valentina Ríos Peñaranda (Cúcuta, Norte de Santander)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</si>
</sst>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0%;\(0.00%\);\-"/>
    <numFmt numFmtId="166" formatCode="0.00&quot;  meses&quot;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E7F9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7F9"/>
      <color rgb="FFFF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5" zoomScaleNormal="115" workbookViewId="0">
      <selection activeCell="C45" sqref="C45"/>
    </sheetView>
  </sheetViews>
  <sheetFormatPr baseColWidth="10" defaultColWidth="8.7109375" defaultRowHeight="15" x14ac:dyDescent="0.25"/>
  <cols>
    <col min="1" max="1" width="22" customWidth="1"/>
    <col min="2" max="2" width="55" customWidth="1"/>
    <col min="3" max="3" width="33.5703125" customWidth="1"/>
    <col min="4" max="4" width="32.5703125" customWidth="1"/>
    <col min="5" max="5" width="29.7109375" customWidth="1"/>
    <col min="6" max="6" width="16" customWidth="1"/>
  </cols>
  <sheetData>
    <row r="1" spans="1:6" ht="21.75" customHeight="1" x14ac:dyDescent="0.25">
      <c r="A1" s="18" t="s">
        <v>0</v>
      </c>
      <c r="B1" s="18"/>
      <c r="C1" s="18"/>
      <c r="D1" s="18"/>
      <c r="E1" s="18"/>
      <c r="F1" s="18"/>
    </row>
    <row r="2" spans="1:6" ht="43.5" customHeight="1" x14ac:dyDescent="0.25">
      <c r="A2" s="1" t="s">
        <v>1</v>
      </c>
      <c r="B2" s="15" t="s">
        <v>66</v>
      </c>
      <c r="C2" s="15"/>
      <c r="D2" s="15"/>
      <c r="E2" s="1" t="s">
        <v>2</v>
      </c>
      <c r="F2" s="2" t="s">
        <v>3</v>
      </c>
    </row>
    <row r="3" spans="1:6" ht="50.25" customHeight="1" x14ac:dyDescent="0.25">
      <c r="A3" s="1" t="s">
        <v>4</v>
      </c>
      <c r="B3" s="15" t="s">
        <v>67</v>
      </c>
      <c r="C3" s="15"/>
      <c r="D3" s="15"/>
      <c r="E3" s="1" t="s">
        <v>5</v>
      </c>
      <c r="F3" s="2" t="s">
        <v>6</v>
      </c>
    </row>
    <row r="4" spans="1:6" ht="18" customHeight="1" x14ac:dyDescent="0.25">
      <c r="A4" s="13" t="s">
        <v>7</v>
      </c>
      <c r="B4" s="13"/>
      <c r="C4" s="13"/>
      <c r="D4" s="13"/>
      <c r="E4" s="13"/>
      <c r="F4" s="13"/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ht="25.5" x14ac:dyDescent="0.25">
      <c r="A6" s="4" t="s">
        <v>14</v>
      </c>
      <c r="B6" s="5" t="s">
        <v>15</v>
      </c>
      <c r="C6" s="6">
        <v>2800000</v>
      </c>
      <c r="D6" s="6">
        <v>2800000</v>
      </c>
      <c r="E6" s="6">
        <v>2800000</v>
      </c>
      <c r="F6" s="6">
        <f t="shared" ref="F6:F13" si="0">SUM(C6:E6)</f>
        <v>8400000</v>
      </c>
    </row>
    <row r="7" spans="1:6" x14ac:dyDescent="0.25">
      <c r="A7" s="4" t="s">
        <v>14</v>
      </c>
      <c r="B7" s="5" t="s">
        <v>16</v>
      </c>
      <c r="C7" s="6">
        <v>3200000</v>
      </c>
      <c r="D7" s="6">
        <v>3200000</v>
      </c>
      <c r="E7" s="6">
        <v>3200000</v>
      </c>
      <c r="F7" s="6">
        <f t="shared" si="0"/>
        <v>9600000</v>
      </c>
    </row>
    <row r="8" spans="1:6" ht="25.5" x14ac:dyDescent="0.25">
      <c r="A8" s="4" t="s">
        <v>14</v>
      </c>
      <c r="B8" s="5" t="s">
        <v>17</v>
      </c>
      <c r="C8" s="6">
        <v>3200000</v>
      </c>
      <c r="D8" s="6">
        <v>3200000</v>
      </c>
      <c r="E8" s="6">
        <v>3200000</v>
      </c>
      <c r="F8" s="6">
        <f t="shared" si="0"/>
        <v>9600000</v>
      </c>
    </row>
    <row r="9" spans="1:6" ht="25.5" x14ac:dyDescent="0.25">
      <c r="A9" s="4" t="s">
        <v>14</v>
      </c>
      <c r="B9" s="5" t="s">
        <v>18</v>
      </c>
      <c r="C9" s="6">
        <v>3000000</v>
      </c>
      <c r="D9" s="6">
        <v>3000000</v>
      </c>
      <c r="E9" s="6">
        <v>3000000</v>
      </c>
      <c r="F9" s="6">
        <f t="shared" si="0"/>
        <v>9000000</v>
      </c>
    </row>
    <row r="10" spans="1:6" x14ac:dyDescent="0.25">
      <c r="A10" s="4" t="s">
        <v>14</v>
      </c>
      <c r="B10" s="5" t="s">
        <v>19</v>
      </c>
      <c r="C10" s="6">
        <v>1500000</v>
      </c>
      <c r="D10" s="6">
        <v>1500000</v>
      </c>
      <c r="E10" s="6">
        <v>1500000</v>
      </c>
      <c r="F10" s="6">
        <f t="shared" si="0"/>
        <v>4500000</v>
      </c>
    </row>
    <row r="11" spans="1:6" ht="25.5" x14ac:dyDescent="0.25">
      <c r="A11" s="4" t="s">
        <v>20</v>
      </c>
      <c r="B11" s="5" t="s">
        <v>21</v>
      </c>
      <c r="C11" s="6">
        <v>250000</v>
      </c>
      <c r="D11" s="6">
        <v>250000</v>
      </c>
      <c r="E11" s="6">
        <v>250000</v>
      </c>
      <c r="F11" s="6">
        <f t="shared" si="0"/>
        <v>750000</v>
      </c>
    </row>
    <row r="12" spans="1:6" ht="25.5" x14ac:dyDescent="0.25">
      <c r="A12" s="4" t="s">
        <v>22</v>
      </c>
      <c r="B12" s="5" t="s">
        <v>23</v>
      </c>
      <c r="C12" s="6">
        <v>600000</v>
      </c>
      <c r="D12" s="6">
        <v>600000</v>
      </c>
      <c r="E12" s="6">
        <v>600000</v>
      </c>
      <c r="F12" s="6">
        <f t="shared" si="0"/>
        <v>1800000</v>
      </c>
    </row>
    <row r="13" spans="1:6" x14ac:dyDescent="0.25">
      <c r="A13" s="4" t="s">
        <v>24</v>
      </c>
      <c r="B13" s="5" t="s">
        <v>25</v>
      </c>
      <c r="C13" s="6">
        <v>80000</v>
      </c>
      <c r="D13" s="6">
        <v>80000</v>
      </c>
      <c r="E13" s="6">
        <v>80000</v>
      </c>
      <c r="F13" s="6">
        <f t="shared" si="0"/>
        <v>240000</v>
      </c>
    </row>
    <row r="14" spans="1:6" x14ac:dyDescent="0.25">
      <c r="A14" s="16" t="s">
        <v>26</v>
      </c>
      <c r="B14" s="16"/>
      <c r="C14" s="7">
        <f>SUM(C6:C13)</f>
        <v>14630000</v>
      </c>
      <c r="D14" s="7">
        <f>SUM(D6:D13)</f>
        <v>14630000</v>
      </c>
      <c r="E14" s="7">
        <f>SUM(E6:E13)</f>
        <v>14630000</v>
      </c>
      <c r="F14" s="7">
        <f>SUM(F6:F13)</f>
        <v>43890000</v>
      </c>
    </row>
    <row r="15" spans="1:6" ht="18" customHeight="1" x14ac:dyDescent="0.25">
      <c r="A15" s="13" t="s">
        <v>27</v>
      </c>
      <c r="B15" s="13"/>
      <c r="C15" s="13"/>
      <c r="D15" s="13"/>
      <c r="E15" s="13"/>
      <c r="F15" s="13"/>
    </row>
    <row r="16" spans="1:6" x14ac:dyDescent="0.25">
      <c r="A16" s="3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</row>
    <row r="17" spans="1:6" x14ac:dyDescent="0.25">
      <c r="A17" s="4" t="s">
        <v>28</v>
      </c>
      <c r="B17" s="5" t="s">
        <v>29</v>
      </c>
      <c r="C17" s="6">
        <v>150000</v>
      </c>
      <c r="D17" s="6">
        <v>150000</v>
      </c>
      <c r="E17" s="6">
        <v>150000</v>
      </c>
      <c r="F17" s="6">
        <f>SUM(C17:E17)</f>
        <v>450000</v>
      </c>
    </row>
    <row r="18" spans="1:6" x14ac:dyDescent="0.25">
      <c r="A18" s="4" t="s">
        <v>28</v>
      </c>
      <c r="B18" s="5" t="s">
        <v>30</v>
      </c>
      <c r="C18" s="6">
        <v>100000</v>
      </c>
      <c r="D18" s="6">
        <v>100000</v>
      </c>
      <c r="E18" s="6">
        <v>100000</v>
      </c>
      <c r="F18" s="6">
        <f>SUM(C18:E18)</f>
        <v>300000</v>
      </c>
    </row>
    <row r="19" spans="1:6" ht="25.5" x14ac:dyDescent="0.25">
      <c r="A19" s="4" t="s">
        <v>31</v>
      </c>
      <c r="B19" s="5" t="s">
        <v>32</v>
      </c>
      <c r="C19" s="6">
        <v>0</v>
      </c>
      <c r="D19" s="6">
        <v>0</v>
      </c>
      <c r="E19" s="6">
        <v>400000</v>
      </c>
      <c r="F19" s="6">
        <f>SUM(C19:E19)</f>
        <v>400000</v>
      </c>
    </row>
    <row r="20" spans="1:6" ht="25.5" x14ac:dyDescent="0.25">
      <c r="A20" s="4" t="s">
        <v>33</v>
      </c>
      <c r="B20" s="5" t="s">
        <v>34</v>
      </c>
      <c r="C20" s="6">
        <v>500000</v>
      </c>
      <c r="D20" s="6">
        <v>0</v>
      </c>
      <c r="E20" s="6">
        <v>0</v>
      </c>
      <c r="F20" s="6">
        <f>SUM(C20:E20)</f>
        <v>500000</v>
      </c>
    </row>
    <row r="21" spans="1:6" x14ac:dyDescent="0.25">
      <c r="A21" s="16" t="s">
        <v>35</v>
      </c>
      <c r="B21" s="16"/>
      <c r="C21" s="7">
        <f>SUM(C17:C20)</f>
        <v>750000</v>
      </c>
      <c r="D21" s="7">
        <f>SUM(D17:D20)</f>
        <v>250000</v>
      </c>
      <c r="E21" s="7">
        <f>SUM(E17:E20)</f>
        <v>650000</v>
      </c>
      <c r="F21" s="7">
        <f>SUM(F17:F20)</f>
        <v>1650000</v>
      </c>
    </row>
    <row r="22" spans="1:6" ht="18" x14ac:dyDescent="0.25">
      <c r="A22" s="17" t="s">
        <v>36</v>
      </c>
      <c r="B22" s="17"/>
      <c r="C22" s="8">
        <f>C14+C21</f>
        <v>15380000</v>
      </c>
      <c r="D22" s="8">
        <f>D14+D21</f>
        <v>14880000</v>
      </c>
      <c r="E22" s="8">
        <f>E14+E21</f>
        <v>15280000</v>
      </c>
      <c r="F22" s="8">
        <f>F14+F21</f>
        <v>45540000</v>
      </c>
    </row>
    <row r="23" spans="1:6" ht="18" customHeight="1" x14ac:dyDescent="0.25">
      <c r="A23" s="13" t="s">
        <v>37</v>
      </c>
      <c r="B23" s="13"/>
      <c r="C23" s="13"/>
      <c r="D23" s="13"/>
      <c r="E23" s="13"/>
      <c r="F23" s="13"/>
    </row>
    <row r="24" spans="1:6" x14ac:dyDescent="0.25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</row>
    <row r="25" spans="1:6" ht="25.5" x14ac:dyDescent="0.25">
      <c r="A25" s="4" t="s">
        <v>38</v>
      </c>
      <c r="B25" s="5" t="s">
        <v>39</v>
      </c>
      <c r="C25" s="6">
        <v>0</v>
      </c>
      <c r="D25" s="6">
        <v>0</v>
      </c>
      <c r="E25" s="6">
        <v>1200000</v>
      </c>
      <c r="F25" s="6">
        <f>SUM(C25:E25)</f>
        <v>1200000</v>
      </c>
    </row>
    <row r="26" spans="1:6" ht="25.5" x14ac:dyDescent="0.25">
      <c r="A26" s="4" t="s">
        <v>38</v>
      </c>
      <c r="B26" s="5" t="s">
        <v>40</v>
      </c>
      <c r="C26" s="6">
        <v>0</v>
      </c>
      <c r="D26" s="6">
        <v>0</v>
      </c>
      <c r="E26" s="6">
        <v>1500000</v>
      </c>
      <c r="F26" s="6">
        <f>SUM(C26:E26)</f>
        <v>1500000</v>
      </c>
    </row>
    <row r="27" spans="1:6" ht="25.5" x14ac:dyDescent="0.25">
      <c r="A27" s="4" t="s">
        <v>38</v>
      </c>
      <c r="B27" s="5" t="s">
        <v>41</v>
      </c>
      <c r="C27" s="6">
        <v>0</v>
      </c>
      <c r="D27" s="6">
        <v>0</v>
      </c>
      <c r="E27" s="6">
        <v>900000</v>
      </c>
      <c r="F27" s="6">
        <f>SUM(C27:E27)</f>
        <v>900000</v>
      </c>
    </row>
    <row r="28" spans="1:6" ht="25.5" x14ac:dyDescent="0.25">
      <c r="A28" s="4"/>
      <c r="B28" s="5" t="s">
        <v>43</v>
      </c>
      <c r="C28" s="6">
        <v>0</v>
      </c>
      <c r="D28" s="6">
        <v>0</v>
      </c>
      <c r="E28" s="6">
        <v>0</v>
      </c>
      <c r="F28" s="6">
        <f>SUM(C28:E28)</f>
        <v>0</v>
      </c>
    </row>
    <row r="29" spans="1:6" ht="25.5" x14ac:dyDescent="0.25">
      <c r="A29" s="4" t="s">
        <v>42</v>
      </c>
      <c r="B29" s="5" t="s">
        <v>44</v>
      </c>
      <c r="C29" s="6">
        <v>0</v>
      </c>
      <c r="D29" s="6">
        <v>0</v>
      </c>
      <c r="E29" s="6">
        <v>0</v>
      </c>
      <c r="F29" s="6">
        <f>SUM(C29:E29)</f>
        <v>0</v>
      </c>
    </row>
    <row r="30" spans="1:6" x14ac:dyDescent="0.25">
      <c r="A30" s="16" t="s">
        <v>45</v>
      </c>
      <c r="B30" s="16"/>
      <c r="C30" s="7">
        <f>SUM(C25:C29)</f>
        <v>0</v>
      </c>
      <c r="D30" s="7">
        <f>SUM(D25:D29)</f>
        <v>0</v>
      </c>
      <c r="E30" s="7">
        <f>SUM(E25:E29)</f>
        <v>3600000</v>
      </c>
      <c r="F30" s="7">
        <f>SUM(F25:F29)</f>
        <v>3600000</v>
      </c>
    </row>
    <row r="31" spans="1:6" ht="18" customHeight="1" x14ac:dyDescent="0.25">
      <c r="A31" s="13" t="s">
        <v>46</v>
      </c>
      <c r="B31" s="13"/>
      <c r="C31" s="13"/>
      <c r="D31" s="13"/>
      <c r="E31" s="13"/>
      <c r="F31" s="13"/>
    </row>
    <row r="32" spans="1:6" ht="15" customHeight="1" x14ac:dyDescent="0.25">
      <c r="A32" s="3" t="s">
        <v>47</v>
      </c>
      <c r="B32" s="3" t="s">
        <v>48</v>
      </c>
      <c r="C32" s="3" t="s">
        <v>49</v>
      </c>
      <c r="D32" s="14" t="s">
        <v>50</v>
      </c>
      <c r="E32" s="14"/>
      <c r="F32" s="14"/>
    </row>
    <row r="33" spans="1:6" ht="68.650000000000006" customHeight="1" x14ac:dyDescent="0.25">
      <c r="A33" s="4" t="s">
        <v>51</v>
      </c>
      <c r="B33" s="5" t="s">
        <v>52</v>
      </c>
      <c r="C33" s="9">
        <f>(F30-F22)/F22</f>
        <v>-0.92094861660079053</v>
      </c>
      <c r="D33" s="15" t="s">
        <v>53</v>
      </c>
      <c r="E33" s="15"/>
      <c r="F33" s="15"/>
    </row>
    <row r="34" spans="1:6" ht="57.4" customHeight="1" x14ac:dyDescent="0.25">
      <c r="A34" s="4" t="s">
        <v>54</v>
      </c>
      <c r="B34" s="5" t="s">
        <v>55</v>
      </c>
      <c r="C34" s="10">
        <f>IF(F30=0,"N/A",F22/(F30/3))</f>
        <v>37.950000000000003</v>
      </c>
      <c r="D34" s="15" t="s">
        <v>56</v>
      </c>
      <c r="E34" s="15"/>
      <c r="F34" s="15"/>
    </row>
    <row r="35" spans="1:6" ht="68.650000000000006" customHeight="1" x14ac:dyDescent="0.25">
      <c r="A35" s="4" t="s">
        <v>57</v>
      </c>
      <c r="B35" s="5" t="s">
        <v>58</v>
      </c>
      <c r="C35" s="6">
        <f>F30-F22</f>
        <v>-41940000</v>
      </c>
      <c r="D35" s="15" t="s">
        <v>59</v>
      </c>
      <c r="E35" s="15"/>
      <c r="F35" s="15"/>
    </row>
    <row r="36" spans="1:6" x14ac:dyDescent="0.25">
      <c r="A36" s="11"/>
      <c r="B36" s="11"/>
      <c r="C36" s="11"/>
      <c r="D36" s="11"/>
      <c r="E36" s="11"/>
      <c r="F36" s="11"/>
    </row>
    <row r="37" spans="1:6" ht="18" customHeight="1" x14ac:dyDescent="0.25">
      <c r="A37" s="13" t="s">
        <v>60</v>
      </c>
      <c r="B37" s="13"/>
      <c r="C37" s="13"/>
      <c r="D37" s="13"/>
      <c r="E37" s="13"/>
      <c r="F37" s="13"/>
    </row>
    <row r="38" spans="1:6" ht="27.75" customHeight="1" x14ac:dyDescent="0.25">
      <c r="A38" s="12" t="s">
        <v>61</v>
      </c>
      <c r="B38" s="12"/>
      <c r="C38" s="12"/>
      <c r="D38" s="12"/>
      <c r="E38" s="12"/>
      <c r="F38" s="12"/>
    </row>
    <row r="39" spans="1:6" ht="27.75" customHeight="1" x14ac:dyDescent="0.25">
      <c r="A39" s="12" t="s">
        <v>62</v>
      </c>
      <c r="B39" s="12"/>
      <c r="C39" s="12"/>
      <c r="D39" s="12"/>
      <c r="E39" s="12"/>
      <c r="F39" s="12"/>
    </row>
    <row r="40" spans="1:6" ht="27.75" customHeight="1" x14ac:dyDescent="0.25">
      <c r="A40" s="12" t="s">
        <v>63</v>
      </c>
      <c r="B40" s="12"/>
      <c r="C40" s="12"/>
      <c r="D40" s="12"/>
      <c r="E40" s="12"/>
      <c r="F40" s="12"/>
    </row>
    <row r="41" spans="1:6" ht="27.75" customHeight="1" x14ac:dyDescent="0.25">
      <c r="A41" s="12" t="s">
        <v>64</v>
      </c>
      <c r="B41" s="12"/>
      <c r="C41" s="12"/>
      <c r="D41" s="12"/>
      <c r="E41" s="12"/>
      <c r="F41" s="12"/>
    </row>
    <row r="42" spans="1:6" ht="27.75" customHeight="1" x14ac:dyDescent="0.25">
      <c r="A42" s="12" t="s">
        <v>65</v>
      </c>
      <c r="B42" s="12"/>
      <c r="C42" s="12"/>
      <c r="D42" s="12"/>
      <c r="E42" s="12"/>
      <c r="F42" s="12"/>
    </row>
  </sheetData>
  <mergeCells count="21">
    <mergeCell ref="A1:F1"/>
    <mergeCell ref="B2:D2"/>
    <mergeCell ref="B3:D3"/>
    <mergeCell ref="A4:F4"/>
    <mergeCell ref="A14:B14"/>
    <mergeCell ref="A15:F15"/>
    <mergeCell ref="A21:B21"/>
    <mergeCell ref="A22:B22"/>
    <mergeCell ref="A23:F23"/>
    <mergeCell ref="A30:B30"/>
    <mergeCell ref="A31:F31"/>
    <mergeCell ref="D32:F32"/>
    <mergeCell ref="D33:F33"/>
    <mergeCell ref="D34:F34"/>
    <mergeCell ref="D35:F35"/>
    <mergeCell ref="A42:F42"/>
    <mergeCell ref="A37:F37"/>
    <mergeCell ref="A38:F38"/>
    <mergeCell ref="A39:F39"/>
    <mergeCell ref="A40:F40"/>
    <mergeCell ref="A41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 Costo-Beneficio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Didier Andre Venga Fuentes</cp:lastModifiedBy>
  <cp:revision>0</cp:revision>
  <dcterms:created xsi:type="dcterms:W3CDTF">2026-06-15T04:21:10Z</dcterms:created>
  <dcterms:modified xsi:type="dcterms:W3CDTF">2026-06-15T05:01:56Z</dcterms:modified>
  <dc:language>en-US</dc:language>
</cp:coreProperties>
</file>